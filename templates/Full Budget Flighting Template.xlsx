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G Standard Template" sheetId="1" r:id="rId4"/>
    <sheet state="visible" name="SEM + Social Template" sheetId="2" r:id="rId5"/>
    <sheet state="visible" name="YouTube Template" sheetId="3" r:id="rId6"/>
  </sheets>
  <definedNames/>
  <calcPr/>
</workbook>
</file>

<file path=xl/sharedStrings.xml><?xml version="1.0" encoding="utf-8"?>
<sst xmlns="http://schemas.openxmlformats.org/spreadsheetml/2006/main" count="48" uniqueCount="32">
  <si>
    <t>For multiple LI orders label excel tabs appropriately</t>
  </si>
  <si>
    <t>Flight Start</t>
  </si>
  <si>
    <t>Total Budget</t>
  </si>
  <si>
    <t>Flight End</t>
  </si>
  <si>
    <t>Total Impressions</t>
  </si>
  <si>
    <t>Even Monthly (Y/N)</t>
  </si>
  <si>
    <t>Y</t>
  </si>
  <si>
    <t>CPM</t>
  </si>
  <si>
    <t>Flighting not recommended for campaigns with conversion goals</t>
  </si>
  <si>
    <t>Monthly Budget Flighting</t>
  </si>
  <si>
    <t>Flight Check:</t>
  </si>
  <si>
    <t>Total Budget Check:</t>
  </si>
  <si>
    <t>Start</t>
  </si>
  <si>
    <t>End</t>
  </si>
  <si>
    <t>Budget</t>
  </si>
  <si>
    <t>Imps</t>
  </si>
  <si>
    <t>Traff Budget</t>
  </si>
  <si>
    <t>Traff Imps</t>
  </si>
  <si>
    <t>y</t>
  </si>
  <si>
    <t>CPV or Bumper?</t>
  </si>
  <si>
    <t>CPV</t>
  </si>
  <si>
    <t>Flight Check</t>
  </si>
  <si>
    <t>Input CPV</t>
  </si>
  <si>
    <t>Input CPM</t>
  </si>
  <si>
    <t>Imps/Views</t>
  </si>
  <si>
    <t>CPM/CPV</t>
  </si>
  <si>
    <t>Campaign Suffix</t>
  </si>
  <si>
    <t>Total Imps/Views</t>
  </si>
  <si>
    <t>Days In Flight</t>
  </si>
  <si>
    <t>Daily Views</t>
  </si>
  <si>
    <t>Daily Platform Budget</t>
  </si>
  <si>
    <t>Total Retail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</si>
</sst>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_(* #,##0_);_(* \(#,##0\);_(* &quot;-&quot;??_);_(@_)"/>
    <numFmt numFmtId="166" formatCode="&quot;$&quot;#,##0.00"/>
    <numFmt numFmtId="167" formatCode="_(* #,##0.0_);_(* \(#,##0.0\);_(* &quot;-&quot;??_);_(@_)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</fills>
  <borders count="3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4" fillId="0" fontId="3" numFmtId="0" xfId="0" applyBorder="1" applyFont="1"/>
    <xf borderId="5" fillId="3" fontId="4" numFmtId="14" xfId="0" applyAlignment="1" applyBorder="1" applyFill="1" applyFont="1" applyNumberFormat="1">
      <alignment readingOrder="0"/>
    </xf>
    <xf borderId="0" fillId="0" fontId="4" numFmtId="0" xfId="0" applyFont="1"/>
    <xf borderId="4" fillId="3" fontId="4" numFmtId="164" xfId="0" applyBorder="1" applyFont="1" applyNumberFormat="1"/>
    <xf borderId="4" fillId="3" fontId="4" numFmtId="165" xfId="0" applyBorder="1" applyFont="1" applyNumberFormat="1"/>
    <xf borderId="5" fillId="3" fontId="4" numFmtId="0" xfId="0" applyAlignment="1" applyBorder="1" applyFont="1">
      <alignment horizontal="center" readingOrder="0"/>
    </xf>
    <xf borderId="6" fillId="0" fontId="3" numFmtId="0" xfId="0" applyBorder="1" applyFont="1"/>
    <xf borderId="6" fillId="0" fontId="4" numFmtId="164" xfId="0" applyBorder="1" applyFont="1" applyNumberFormat="1"/>
    <xf borderId="0" fillId="0" fontId="4" numFmtId="164" xfId="0" applyFont="1" applyNumberFormat="1"/>
    <xf borderId="7" fillId="3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6" numFmtId="0" xfId="0" applyAlignment="1" applyBorder="1" applyFont="1">
      <alignment horizontal="right"/>
    </xf>
    <xf borderId="14" fillId="0" fontId="6" numFmtId="0" xfId="0" applyBorder="1" applyFont="1"/>
    <xf borderId="14" fillId="0" fontId="6" numFmtId="0" xfId="0" applyAlignment="1" applyBorder="1" applyFont="1">
      <alignment horizontal="right"/>
    </xf>
    <xf borderId="14" fillId="0" fontId="2" numFmtId="0" xfId="0" applyBorder="1" applyFont="1"/>
    <xf borderId="15" fillId="0" fontId="6" numFmtId="0" xfId="0" applyBorder="1" applyFont="1"/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7" numFmtId="14" xfId="0" applyAlignment="1" applyBorder="1" applyFont="1" applyNumberFormat="1">
      <alignment horizontal="center" readingOrder="0"/>
    </xf>
    <xf borderId="0" fillId="0" fontId="7" numFmtId="14" xfId="0" applyAlignment="1" applyFont="1" applyNumberFormat="1">
      <alignment horizontal="center"/>
    </xf>
    <xf borderId="20" fillId="3" fontId="7" numFmtId="164" xfId="0" applyBorder="1" applyFont="1" applyNumberFormat="1"/>
    <xf borderId="0" fillId="0" fontId="7" numFmtId="165" xfId="0" applyFont="1" applyNumberFormat="1"/>
    <xf borderId="0" fillId="0" fontId="7" numFmtId="164" xfId="0" applyFont="1" applyNumberFormat="1"/>
    <xf borderId="21" fillId="0" fontId="7" numFmtId="165" xfId="0" applyBorder="1" applyFont="1" applyNumberFormat="1"/>
    <xf borderId="22" fillId="4" fontId="7" numFmtId="14" xfId="0" applyAlignment="1" applyBorder="1" applyFill="1" applyFont="1" applyNumberFormat="1">
      <alignment horizontal="center"/>
    </xf>
    <xf borderId="20" fillId="4" fontId="7" numFmtId="14" xfId="0" applyAlignment="1" applyBorder="1" applyFont="1" applyNumberFormat="1">
      <alignment horizontal="center"/>
    </xf>
    <xf borderId="20" fillId="4" fontId="7" numFmtId="164" xfId="0" applyBorder="1" applyFont="1" applyNumberFormat="1"/>
    <xf borderId="20" fillId="4" fontId="7" numFmtId="165" xfId="0" applyBorder="1" applyFont="1" applyNumberFormat="1"/>
    <xf borderId="23" fillId="4" fontId="7" numFmtId="165" xfId="0" applyBorder="1" applyFont="1" applyNumberFormat="1"/>
    <xf borderId="19" fillId="0" fontId="7" numFmtId="14" xfId="0" applyAlignment="1" applyBorder="1" applyFont="1" applyNumberFormat="1">
      <alignment horizontal="center"/>
    </xf>
    <xf borderId="0" fillId="0" fontId="8" numFmtId="0" xfId="0" applyAlignment="1" applyFont="1">
      <alignment vertical="bottom"/>
    </xf>
    <xf borderId="22" fillId="4" fontId="8" numFmtId="14" xfId="0" applyAlignment="1" applyBorder="1" applyFont="1" applyNumberFormat="1">
      <alignment vertical="bottom"/>
    </xf>
    <xf borderId="20" fillId="4" fontId="8" numFmtId="14" xfId="0" applyAlignment="1" applyBorder="1" applyFont="1" applyNumberFormat="1">
      <alignment vertical="bottom"/>
    </xf>
    <xf borderId="20" fillId="4" fontId="8" numFmtId="164" xfId="0" applyAlignment="1" applyBorder="1" applyFont="1" applyNumberFormat="1">
      <alignment vertical="bottom"/>
    </xf>
    <xf borderId="20" fillId="4" fontId="4" numFmtId="165" xfId="0" applyAlignment="1" applyBorder="1" applyFont="1" applyNumberFormat="1">
      <alignment vertical="bottom"/>
    </xf>
    <xf borderId="20" fillId="4" fontId="4" numFmtId="164" xfId="0" applyAlignment="1" applyBorder="1" applyFont="1" applyNumberFormat="1">
      <alignment horizontal="right" vertical="bottom"/>
    </xf>
    <xf borderId="23" fillId="4" fontId="4" numFmtId="165" xfId="0" applyAlignment="1" applyBorder="1" applyFont="1" applyNumberFormat="1">
      <alignment vertical="bottom"/>
    </xf>
    <xf borderId="19" fillId="0" fontId="8" numFmtId="14" xfId="0" applyAlignment="1" applyBorder="1" applyFont="1" applyNumberFormat="1">
      <alignment vertical="bottom"/>
    </xf>
    <xf borderId="0" fillId="0" fontId="8" numFmtId="14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21" fillId="0" fontId="4" numFmtId="165" xfId="0" applyAlignment="1" applyBorder="1" applyFont="1" applyNumberFormat="1">
      <alignment vertical="bottom"/>
    </xf>
    <xf borderId="20" fillId="4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24" fillId="4" fontId="7" numFmtId="14" xfId="0" applyAlignment="1" applyBorder="1" applyFont="1" applyNumberFormat="1">
      <alignment horizontal="center"/>
    </xf>
    <xf borderId="25" fillId="4" fontId="7" numFmtId="14" xfId="0" applyAlignment="1" applyBorder="1" applyFont="1" applyNumberFormat="1">
      <alignment horizontal="center"/>
    </xf>
    <xf borderId="25" fillId="4" fontId="7" numFmtId="164" xfId="0" applyBorder="1" applyFont="1" applyNumberFormat="1"/>
    <xf borderId="25" fillId="4" fontId="7" numFmtId="165" xfId="0" applyBorder="1" applyFont="1" applyNumberFormat="1"/>
    <xf borderId="26" fillId="4" fontId="7" numFmtId="165" xfId="0" applyBorder="1" applyFont="1" applyNumberFormat="1"/>
    <xf borderId="5" fillId="3" fontId="4" numFmtId="14" xfId="0" applyBorder="1" applyFont="1" applyNumberFormat="1"/>
    <xf borderId="5" fillId="3" fontId="4" numFmtId="0" xfId="0" applyAlignment="1" applyBorder="1" applyFont="1">
      <alignment horizontal="center"/>
    </xf>
    <xf borderId="15" fillId="0" fontId="6" numFmtId="0" xfId="0" applyAlignment="1" applyBorder="1" applyFont="1">
      <alignment horizontal="right"/>
    </xf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7" numFmtId="14" xfId="0" applyAlignment="1" applyBorder="1" applyFont="1" applyNumberFormat="1">
      <alignment horizontal="center"/>
    </xf>
    <xf borderId="0" fillId="0" fontId="7" numFmtId="14" xfId="0" applyAlignment="1" applyFont="1" applyNumberFormat="1">
      <alignment horizontal="center"/>
    </xf>
    <xf borderId="23" fillId="3" fontId="7" numFmtId="164" xfId="0" applyBorder="1" applyFont="1" applyNumberFormat="1"/>
    <xf borderId="22" fillId="4" fontId="7" numFmtId="14" xfId="0" applyAlignment="1" applyBorder="1" applyFont="1" applyNumberFormat="1">
      <alignment horizontal="center"/>
    </xf>
    <xf borderId="20" fillId="4" fontId="7" numFmtId="14" xfId="0" applyAlignment="1" applyBorder="1" applyFont="1" applyNumberFormat="1">
      <alignment horizontal="center"/>
    </xf>
    <xf borderId="23" fillId="4" fontId="7" numFmtId="164" xfId="0" applyBorder="1" applyFont="1" applyNumberFormat="1"/>
    <xf borderId="21" fillId="0" fontId="7" numFmtId="164" xfId="0" applyBorder="1" applyFont="1" applyNumberFormat="1"/>
    <xf borderId="19" fillId="4" fontId="7" numFmtId="14" xfId="0" applyAlignment="1" applyBorder="1" applyFont="1" applyNumberFormat="1">
      <alignment horizontal="center"/>
    </xf>
    <xf borderId="0" fillId="4" fontId="7" numFmtId="14" xfId="0" applyAlignment="1" applyFont="1" applyNumberFormat="1">
      <alignment horizontal="center"/>
    </xf>
    <xf borderId="21" fillId="4" fontId="7" numFmtId="164" xfId="0" applyBorder="1" applyFont="1" applyNumberFormat="1"/>
    <xf borderId="24" fillId="4" fontId="7" numFmtId="14" xfId="0" applyAlignment="1" applyBorder="1" applyFont="1" applyNumberFormat="1">
      <alignment horizontal="center"/>
    </xf>
    <xf borderId="25" fillId="4" fontId="7" numFmtId="14" xfId="0" applyAlignment="1" applyBorder="1" applyFont="1" applyNumberFormat="1">
      <alignment horizontal="center"/>
    </xf>
    <xf borderId="26" fillId="4" fontId="7" numFmtId="164" xfId="0" applyBorder="1" applyFont="1" applyNumberFormat="1"/>
    <xf borderId="4" fillId="3" fontId="4" numFmtId="14" xfId="0" applyBorder="1" applyFont="1" applyNumberFormat="1"/>
    <xf borderId="4" fillId="0" fontId="4" numFmtId="164" xfId="0" applyBorder="1" applyFont="1" applyNumberFormat="1"/>
    <xf borderId="27" fillId="0" fontId="3" numFmtId="0" xfId="0" applyBorder="1" applyFont="1"/>
    <xf borderId="28" fillId="0" fontId="4" numFmtId="0" xfId="0" applyAlignment="1" applyBorder="1" applyFont="1">
      <alignment horizontal="center"/>
    </xf>
    <xf borderId="29" fillId="5" fontId="3" numFmtId="0" xfId="0" applyAlignment="1" applyBorder="1" applyFill="1" applyFont="1">
      <alignment horizontal="center" vertical="center"/>
    </xf>
    <xf borderId="30" fillId="5" fontId="3" numFmtId="0" xfId="0" applyAlignment="1" applyBorder="1" applyFont="1">
      <alignment horizontal="center" vertical="center"/>
    </xf>
    <xf borderId="31" fillId="5" fontId="3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6" fillId="0" fontId="4" numFmtId="14" xfId="0" applyAlignment="1" applyBorder="1" applyFont="1" applyNumberFormat="1">
      <alignment horizontal="center" vertical="center"/>
    </xf>
    <xf borderId="27" fillId="0" fontId="4" numFmtId="14" xfId="0" applyAlignment="1" applyBorder="1" applyFont="1" applyNumberFormat="1">
      <alignment horizontal="center" vertical="center"/>
    </xf>
    <xf borderId="33" fillId="3" fontId="7" numFmtId="165" xfId="0" applyAlignment="1" applyBorder="1" applyFont="1" applyNumberFormat="1">
      <alignment horizontal="right"/>
    </xf>
    <xf borderId="28" fillId="0" fontId="7" numFmtId="1" xfId="0" applyAlignment="1" applyBorder="1" applyFont="1" applyNumberFormat="1">
      <alignment horizontal="center" vertical="center"/>
    </xf>
    <xf borderId="4" fillId="0" fontId="7" numFmtId="1" xfId="0" applyAlignment="1" applyBorder="1" applyFont="1" applyNumberFormat="1">
      <alignment horizontal="center" vertical="center"/>
    </xf>
    <xf borderId="6" fillId="0" fontId="7" numFmtId="166" xfId="0" applyAlignment="1" applyBorder="1" applyFont="1" applyNumberFormat="1">
      <alignment horizontal="center" vertical="center"/>
    </xf>
    <xf borderId="34" fillId="5" fontId="4" numFmtId="164" xfId="0" applyAlignment="1" applyBorder="1" applyFont="1" applyNumberFormat="1">
      <alignment horizontal="center" vertical="center"/>
    </xf>
    <xf borderId="32" fillId="0" fontId="7" numFmtId="14" xfId="0" applyAlignment="1" applyBorder="1" applyFont="1" applyNumberFormat="1">
      <alignment horizontal="center" vertical="center"/>
    </xf>
    <xf borderId="4" fillId="0" fontId="4" numFmtId="14" xfId="0" applyAlignment="1" applyBorder="1" applyFont="1" applyNumberFormat="1">
      <alignment horizontal="center" vertical="center"/>
    </xf>
    <xf borderId="35" fillId="0" fontId="4" numFmtId="14" xfId="0" applyAlignment="1" applyBorder="1" applyFont="1" applyNumberFormat="1">
      <alignment horizontal="center" vertical="center"/>
    </xf>
    <xf borderId="4" fillId="3" fontId="4" numFmtId="165" xfId="0" applyAlignment="1" applyBorder="1" applyFont="1" applyNumberFormat="1">
      <alignment horizontal="right" vertical="center"/>
    </xf>
    <xf borderId="36" fillId="0" fontId="7" numFmtId="1" xfId="0" applyAlignment="1" applyBorder="1" applyFont="1" applyNumberFormat="1">
      <alignment horizontal="center" vertical="center"/>
    </xf>
    <xf borderId="16" fillId="0" fontId="7" numFmtId="0" xfId="0" applyAlignment="1" applyBorder="1" applyFont="1">
      <alignment horizontal="center" vertical="center"/>
    </xf>
    <xf borderId="24" fillId="5" fontId="7" numFmtId="0" xfId="0" applyAlignment="1" applyBorder="1" applyFont="1">
      <alignment horizontal="right"/>
    </xf>
    <xf borderId="25" fillId="5" fontId="7" numFmtId="0" xfId="0" applyAlignment="1" applyBorder="1" applyFont="1">
      <alignment horizontal="right"/>
    </xf>
    <xf borderId="25" fillId="5" fontId="7" numFmtId="165" xfId="0" applyAlignment="1" applyBorder="1" applyFont="1" applyNumberFormat="1">
      <alignment horizontal="right"/>
    </xf>
    <xf borderId="26" fillId="5" fontId="7" numFmtId="167" xfId="0" applyAlignment="1" applyBorder="1" applyFont="1" applyNumberFormat="1">
      <alignment horizontal="right"/>
    </xf>
  </cellXfs>
  <cellStyles count="1">
    <cellStyle xfId="0" name="Normal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385623"/>
      </font>
      <fill>
        <patternFill patternType="solid">
          <fgColor rgb="FFE2EFD9"/>
          <bgColor rgb="FFE2EF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3" pivot="0" name="SEM + Social Template-style">
      <tableStyleElement dxfId="4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1:D49" displayName="Table_1" name="Table_1" id="1">
  <tableColumns count="3">
    <tableColumn name="Start" id="1"/>
    <tableColumn name="End" id="2"/>
    <tableColumn name="Budget" id="3"/>
  </tableColumns>
  <tableStyleInfo name="SEM + Social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7.86"/>
    <col customWidth="1" min="3" max="3" width="16.0"/>
    <col customWidth="1" min="4" max="4" width="13.86"/>
    <col customWidth="1" min="5" max="5" width="19.43"/>
    <col customWidth="1" min="6" max="6" width="15.14"/>
    <col customWidth="1" min="7" max="7" width="11.86"/>
    <col customWidth="1" min="8" max="20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/>
    <row r="3" ht="18.0" customHeight="1">
      <c r="B3" s="4"/>
      <c r="C3" s="5"/>
      <c r="E3" s="6" t="s">
        <v>1</v>
      </c>
      <c r="F3" s="7"/>
      <c r="G3" s="8"/>
    </row>
    <row r="4" ht="18.0" customHeight="1">
      <c r="B4" s="6" t="s">
        <v>2</v>
      </c>
      <c r="C4" s="9"/>
      <c r="D4" s="8"/>
      <c r="E4" s="6" t="s">
        <v>3</v>
      </c>
      <c r="F4" s="7"/>
      <c r="G4" s="8"/>
    </row>
    <row r="5" ht="18.0" customHeight="1">
      <c r="B5" s="6" t="s">
        <v>4</v>
      </c>
      <c r="C5" s="10"/>
      <c r="D5" s="8"/>
      <c r="E5" s="6" t="s">
        <v>5</v>
      </c>
      <c r="F5" s="11" t="s">
        <v>6</v>
      </c>
      <c r="G5" s="8"/>
    </row>
    <row r="6" ht="18.0" customHeight="1">
      <c r="B6" s="12" t="s">
        <v>7</v>
      </c>
      <c r="C6" s="13" t="str">
        <f>C4/C5*1000</f>
        <v>#DIV/0!</v>
      </c>
      <c r="D6" s="8"/>
      <c r="E6" s="8"/>
      <c r="F6" s="8"/>
      <c r="G6" s="8"/>
    </row>
    <row r="7" ht="18.0" customHeight="1">
      <c r="B7" s="4"/>
      <c r="C7" s="14"/>
      <c r="D7" s="8"/>
      <c r="E7" s="8"/>
      <c r="F7" s="8"/>
      <c r="G7" s="8"/>
    </row>
    <row r="8" ht="14.25" customHeight="1">
      <c r="B8" s="4"/>
      <c r="C8" s="8"/>
      <c r="D8" s="8"/>
      <c r="E8" s="8"/>
      <c r="F8" s="8"/>
      <c r="G8" s="8"/>
    </row>
    <row r="9" ht="14.25" customHeight="1">
      <c r="B9" s="15" t="s">
        <v>8</v>
      </c>
      <c r="C9" s="16"/>
      <c r="D9" s="16"/>
      <c r="E9" s="16"/>
      <c r="F9" s="16"/>
      <c r="G9" s="17"/>
    </row>
    <row r="10" ht="33.75" customHeight="1">
      <c r="B10" s="18" t="s">
        <v>9</v>
      </c>
      <c r="C10" s="19"/>
      <c r="D10" s="19"/>
      <c r="E10" s="19"/>
      <c r="F10" s="19"/>
      <c r="G10" s="20"/>
    </row>
    <row r="11" ht="14.25" customHeight="1">
      <c r="B11" s="21" t="s">
        <v>10</v>
      </c>
      <c r="C11" s="22" t="str">
        <f>IF($F$5="N","",IF(B13=$F$3,IF(MAX(C13:C60)=$F$4,"Good","Wrong Date"),"Wrong Date"))</f>
        <v>Good</v>
      </c>
      <c r="D11" s="23"/>
      <c r="E11" s="23" t="s">
        <v>11</v>
      </c>
      <c r="F11" s="24"/>
      <c r="G11" s="25" t="str">
        <f>IF($F$5="N","",IF(SUM(D13:D64)=$C$4,"Good","INCORRECT"))</f>
        <v>Good</v>
      </c>
    </row>
    <row r="12" ht="14.25" customHeight="1">
      <c r="B12" s="26" t="s">
        <v>12</v>
      </c>
      <c r="C12" s="27" t="s">
        <v>13</v>
      </c>
      <c r="D12" s="27" t="s">
        <v>14</v>
      </c>
      <c r="E12" s="27" t="s">
        <v>15</v>
      </c>
      <c r="F12" s="27" t="s">
        <v>16</v>
      </c>
      <c r="G12" s="28" t="s">
        <v>17</v>
      </c>
    </row>
    <row r="13" ht="14.25" customHeight="1">
      <c r="B13" s="29"/>
      <c r="C13" s="30"/>
      <c r="D13" s="31"/>
      <c r="E13" s="32"/>
      <c r="F13" s="33"/>
      <c r="G13" s="34"/>
    </row>
    <row r="14" ht="14.25" customHeight="1">
      <c r="B14" s="35"/>
      <c r="C14" s="36"/>
      <c r="D14" s="37"/>
      <c r="E14" s="38"/>
      <c r="F14" s="37"/>
      <c r="G14" s="39"/>
    </row>
    <row r="15" ht="14.25" customHeight="1">
      <c r="B15" s="40"/>
      <c r="C15" s="30"/>
      <c r="D15" s="33"/>
      <c r="E15" s="32"/>
      <c r="F15" s="33"/>
      <c r="G15" s="34"/>
    </row>
    <row r="16" ht="14.25" customHeight="1">
      <c r="B16" s="35"/>
      <c r="C16" s="36"/>
      <c r="D16" s="37"/>
      <c r="E16" s="38"/>
      <c r="F16" s="37"/>
      <c r="G16" s="39"/>
    </row>
    <row r="17" ht="14.25" customHeight="1">
      <c r="B17" s="40"/>
      <c r="C17" s="30"/>
      <c r="D17" s="33"/>
      <c r="E17" s="32"/>
      <c r="F17" s="33"/>
      <c r="G17" s="34"/>
    </row>
    <row r="18" ht="14.25" customHeight="1">
      <c r="B18" s="35"/>
      <c r="C18" s="36"/>
      <c r="D18" s="37"/>
      <c r="E18" s="38"/>
      <c r="F18" s="37"/>
      <c r="G18" s="39"/>
    </row>
    <row r="19" ht="14.25" customHeight="1">
      <c r="B19" s="40"/>
      <c r="C19" s="30"/>
      <c r="D19" s="33"/>
      <c r="E19" s="32"/>
      <c r="F19" s="33"/>
      <c r="G19" s="34"/>
    </row>
    <row r="20" ht="14.25" customHeight="1">
      <c r="B20" s="35"/>
      <c r="C20" s="36"/>
      <c r="D20" s="37"/>
      <c r="E20" s="38"/>
      <c r="F20" s="37"/>
      <c r="G20" s="39"/>
    </row>
    <row r="21" ht="14.25" customHeight="1">
      <c r="B21" s="40"/>
      <c r="C21" s="30"/>
      <c r="D21" s="33"/>
      <c r="E21" s="32"/>
      <c r="F21" s="33"/>
      <c r="G21" s="34"/>
    </row>
    <row r="22" ht="14.25" customHeight="1">
      <c r="B22" s="35"/>
      <c r="C22" s="36"/>
      <c r="D22" s="37"/>
      <c r="E22" s="38"/>
      <c r="F22" s="37"/>
      <c r="G22" s="39"/>
    </row>
    <row r="23" ht="14.25" customHeight="1">
      <c r="B23" s="40"/>
      <c r="C23" s="30"/>
      <c r="D23" s="33"/>
      <c r="E23" s="32"/>
      <c r="F23" s="33"/>
      <c r="G23" s="34"/>
    </row>
    <row r="24" ht="14.25" customHeight="1">
      <c r="B24" s="35"/>
      <c r="C24" s="36"/>
      <c r="D24" s="37"/>
      <c r="E24" s="38"/>
      <c r="F24" s="37"/>
      <c r="G24" s="39"/>
    </row>
    <row r="25" ht="14.25" customHeight="1">
      <c r="B25" s="40"/>
      <c r="C25" s="30"/>
      <c r="D25" s="33"/>
      <c r="E25" s="32"/>
      <c r="F25" s="33"/>
      <c r="G25" s="34"/>
    </row>
    <row r="26" ht="14.25" customHeight="1">
      <c r="B26" s="35"/>
      <c r="C26" s="36"/>
      <c r="D26" s="37"/>
      <c r="E26" s="38"/>
      <c r="F26" s="37"/>
      <c r="G26" s="39"/>
    </row>
    <row r="27" ht="14.25" customHeight="1">
      <c r="B27" s="40"/>
      <c r="C27" s="30"/>
      <c r="D27" s="33"/>
      <c r="E27" s="32"/>
      <c r="F27" s="33"/>
      <c r="G27" s="34"/>
    </row>
    <row r="28" ht="14.25" customHeight="1">
      <c r="B28" s="35"/>
      <c r="C28" s="36"/>
      <c r="D28" s="37"/>
      <c r="E28" s="38"/>
      <c r="F28" s="37"/>
      <c r="G28" s="39"/>
    </row>
    <row r="29" ht="14.25" customHeight="1">
      <c r="B29" s="40"/>
      <c r="C29" s="30"/>
      <c r="D29" s="33"/>
      <c r="E29" s="32"/>
      <c r="F29" s="33"/>
      <c r="G29" s="34"/>
    </row>
    <row r="30" ht="14.25" customHeight="1">
      <c r="B30" s="35"/>
      <c r="C30" s="36"/>
      <c r="D30" s="37"/>
      <c r="E30" s="38"/>
      <c r="F30" s="37"/>
      <c r="G30" s="39"/>
    </row>
    <row r="31" ht="14.25" customHeight="1">
      <c r="B31" s="40"/>
      <c r="C31" s="30"/>
      <c r="D31" s="33"/>
      <c r="E31" s="32"/>
      <c r="F31" s="33"/>
      <c r="G31" s="34"/>
    </row>
    <row r="32" ht="14.25" customHeight="1">
      <c r="B32" s="35"/>
      <c r="C32" s="36"/>
      <c r="D32" s="37"/>
      <c r="E32" s="38"/>
      <c r="F32" s="37"/>
      <c r="G32" s="39"/>
    </row>
    <row r="33" ht="14.25" customHeight="1">
      <c r="B33" s="40"/>
      <c r="C33" s="30"/>
      <c r="D33" s="33"/>
      <c r="E33" s="32"/>
      <c r="F33" s="33"/>
      <c r="G33" s="34"/>
    </row>
    <row r="34" ht="14.25" customHeight="1">
      <c r="B34" s="35"/>
      <c r="C34" s="36"/>
      <c r="D34" s="37"/>
      <c r="E34" s="38"/>
      <c r="F34" s="37"/>
      <c r="G34" s="39"/>
    </row>
    <row r="35" ht="14.25" customHeight="1">
      <c r="B35" s="40"/>
      <c r="C35" s="30"/>
      <c r="D35" s="33"/>
      <c r="E35" s="32"/>
      <c r="F35" s="33"/>
      <c r="G35" s="34"/>
    </row>
    <row r="36" ht="14.25" customHeight="1">
      <c r="A36" s="41"/>
      <c r="B36" s="42"/>
      <c r="C36" s="43"/>
      <c r="D36" s="44"/>
      <c r="E36" s="45"/>
      <c r="F36" s="46"/>
      <c r="G36" s="4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ht="14.25" customHeight="1">
      <c r="A37" s="41"/>
      <c r="B37" s="48"/>
      <c r="C37" s="49"/>
      <c r="D37" s="50"/>
      <c r="E37" s="51"/>
      <c r="F37" s="52"/>
      <c r="G37" s="53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ht="14.25" customHeight="1">
      <c r="A38" s="41"/>
      <c r="B38" s="42"/>
      <c r="C38" s="43"/>
      <c r="D38" s="54"/>
      <c r="E38" s="45"/>
      <c r="F38" s="46"/>
      <c r="G38" s="4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ht="14.25" customHeight="1">
      <c r="A39" s="41"/>
      <c r="B39" s="48"/>
      <c r="C39" s="49"/>
      <c r="D39" s="55"/>
      <c r="E39" s="51"/>
      <c r="F39" s="52"/>
      <c r="G39" s="53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ht="14.25" customHeight="1">
      <c r="A40" s="41"/>
      <c r="B40" s="42"/>
      <c r="C40" s="43"/>
      <c r="D40" s="54"/>
      <c r="E40" s="45"/>
      <c r="F40" s="46"/>
      <c r="G40" s="4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ht="14.25" customHeight="1">
      <c r="A41" s="41"/>
      <c r="B41" s="48"/>
      <c r="C41" s="49"/>
      <c r="D41" s="55"/>
      <c r="E41" s="51"/>
      <c r="F41" s="52"/>
      <c r="G41" s="53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ht="14.25" customHeight="1">
      <c r="A42" s="41"/>
      <c r="B42" s="42"/>
      <c r="C42" s="43"/>
      <c r="D42" s="54"/>
      <c r="E42" s="45"/>
      <c r="F42" s="46"/>
      <c r="G42" s="4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ht="14.25" customHeight="1">
      <c r="A43" s="41"/>
      <c r="B43" s="48"/>
      <c r="C43" s="49"/>
      <c r="D43" s="55"/>
      <c r="E43" s="51"/>
      <c r="F43" s="52"/>
      <c r="G43" s="53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ht="14.25" customHeight="1">
      <c r="A44" s="41"/>
      <c r="B44" s="42"/>
      <c r="C44" s="43"/>
      <c r="D44" s="54"/>
      <c r="E44" s="45"/>
      <c r="F44" s="46"/>
      <c r="G44" s="4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ht="14.25" customHeight="1">
      <c r="A45" s="41"/>
      <c r="B45" s="48"/>
      <c r="C45" s="49"/>
      <c r="D45" s="55"/>
      <c r="E45" s="51"/>
      <c r="F45" s="52"/>
      <c r="G45" s="53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ht="14.25" customHeight="1">
      <c r="A46" s="41"/>
      <c r="B46" s="42"/>
      <c r="C46" s="43"/>
      <c r="D46" s="54"/>
      <c r="E46" s="45"/>
      <c r="F46" s="46"/>
      <c r="G46" s="4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ht="14.25" customHeight="1">
      <c r="A47" s="41"/>
      <c r="B47" s="48"/>
      <c r="C47" s="49"/>
      <c r="D47" s="55"/>
      <c r="E47" s="51"/>
      <c r="F47" s="52"/>
      <c r="G47" s="53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ht="14.25" customHeight="1">
      <c r="A48" s="41"/>
      <c r="B48" s="42"/>
      <c r="C48" s="43"/>
      <c r="D48" s="54"/>
      <c r="E48" s="45"/>
      <c r="F48" s="46"/>
      <c r="G48" s="47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ht="14.25" customHeight="1">
      <c r="A49" s="41"/>
      <c r="B49" s="48"/>
      <c r="C49" s="49"/>
      <c r="D49" s="55"/>
      <c r="E49" s="51"/>
      <c r="F49" s="52"/>
      <c r="G49" s="53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ht="14.25" customHeight="1">
      <c r="A50" s="41"/>
      <c r="B50" s="42"/>
      <c r="C50" s="43"/>
      <c r="D50" s="54"/>
      <c r="E50" s="45"/>
      <c r="F50" s="46"/>
      <c r="G50" s="4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ht="14.25" customHeight="1">
      <c r="A51" s="41"/>
      <c r="B51" s="48"/>
      <c r="C51" s="49"/>
      <c r="D51" s="55"/>
      <c r="E51" s="51"/>
      <c r="F51" s="52"/>
      <c r="G51" s="5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ht="14.25" customHeight="1">
      <c r="B52" s="56"/>
      <c r="C52" s="57"/>
      <c r="D52" s="58"/>
      <c r="E52" s="59"/>
      <c r="F52" s="58"/>
      <c r="G52" s="60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mergeCells count="5">
    <mergeCell ref="A1:G1"/>
    <mergeCell ref="C3:D3"/>
    <mergeCell ref="B9:G9"/>
    <mergeCell ref="B10:G10"/>
    <mergeCell ref="E11:F11"/>
  </mergeCells>
  <conditionalFormatting sqref="G11">
    <cfRule type="containsText" dxfId="0" priority="1" operator="containsText" text="INCORRECT">
      <formula>NOT(ISERROR(SEARCH(("INCORRECT"),(G11))))</formula>
    </cfRule>
  </conditionalFormatting>
  <conditionalFormatting sqref="G11">
    <cfRule type="cellIs" dxfId="1" priority="2" operator="equal">
      <formula>"Good"</formula>
    </cfRule>
  </conditionalFormatting>
  <conditionalFormatting sqref="C11">
    <cfRule type="containsText" dxfId="0" priority="3" operator="containsText" text="wrong">
      <formula>NOT(ISERROR(SEARCH(("wrong"),(C11))))</formula>
    </cfRule>
  </conditionalFormatting>
  <conditionalFormatting sqref="C11">
    <cfRule type="containsText" dxfId="1" priority="4" operator="containsText" text="good">
      <formula>NOT(ISERROR(SEARCH(("good"),(C11))))</formula>
    </cfRule>
  </conditionalFormatting>
  <conditionalFormatting sqref="B10:G10">
    <cfRule type="expression" dxfId="2" priority="5">
      <formula>#REF!="Y"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4" width="25.86"/>
    <col customWidth="1" min="5" max="23" width="8.71"/>
  </cols>
  <sheetData>
    <row r="1" ht="14.25" customHeight="1">
      <c r="A1" s="1" t="s">
        <v>0</v>
      </c>
      <c r="B1" s="2"/>
      <c r="C1" s="2"/>
      <c r="D1" s="3"/>
    </row>
    <row r="2" ht="14.25" customHeight="1"/>
    <row r="3" ht="14.25" customHeight="1">
      <c r="B3" s="6" t="s">
        <v>1</v>
      </c>
      <c r="C3" s="61"/>
    </row>
    <row r="4" ht="18.0" customHeight="1">
      <c r="B4" s="6" t="s">
        <v>3</v>
      </c>
      <c r="C4" s="61"/>
      <c r="D4" s="8"/>
    </row>
    <row r="5" ht="18.0" customHeight="1">
      <c r="B5" s="6" t="s">
        <v>2</v>
      </c>
      <c r="C5" s="9"/>
      <c r="D5" s="8"/>
    </row>
    <row r="6" ht="18.0" customHeight="1">
      <c r="B6" s="6" t="s">
        <v>5</v>
      </c>
      <c r="C6" s="62" t="s">
        <v>18</v>
      </c>
      <c r="D6" s="8"/>
    </row>
    <row r="7" ht="18.0" customHeight="1">
      <c r="D7" s="8"/>
    </row>
    <row r="8" ht="14.25" customHeight="1">
      <c r="B8" s="8"/>
      <c r="C8" s="8"/>
      <c r="D8" s="8"/>
    </row>
    <row r="9" ht="33.75" customHeight="1">
      <c r="B9" s="18" t="s">
        <v>9</v>
      </c>
      <c r="C9" s="19"/>
      <c r="D9" s="20"/>
    </row>
    <row r="10" ht="14.25" customHeight="1">
      <c r="B10" s="21" t="s">
        <v>10</v>
      </c>
      <c r="C10" s="22" t="str">
        <f>IF($C$6="N","",IF(B12=$C$3,IF(MAX(C12:C57)=$C$4,"Good","Wrong Date"),"Wrong Date"))</f>
        <v>Good</v>
      </c>
      <c r="D10" s="63"/>
    </row>
    <row r="11" ht="14.25" customHeight="1">
      <c r="B11" s="64" t="s">
        <v>12</v>
      </c>
      <c r="C11" s="65" t="s">
        <v>13</v>
      </c>
      <c r="D11" s="66" t="s">
        <v>14</v>
      </c>
    </row>
    <row r="12" ht="14.25" customHeight="1">
      <c r="B12" s="67"/>
      <c r="C12" s="68"/>
      <c r="D12" s="69"/>
    </row>
    <row r="13" ht="14.25" customHeight="1">
      <c r="B13" s="70"/>
      <c r="C13" s="71"/>
      <c r="D13" s="72"/>
    </row>
    <row r="14" ht="14.25" customHeight="1">
      <c r="B14" s="67"/>
      <c r="C14" s="68"/>
      <c r="D14" s="73"/>
    </row>
    <row r="15" ht="14.25" customHeight="1">
      <c r="B15" s="70"/>
      <c r="C15" s="71"/>
      <c r="D15" s="72"/>
    </row>
    <row r="16" ht="14.25" customHeight="1">
      <c r="B16" s="67"/>
      <c r="C16" s="68"/>
      <c r="D16" s="73"/>
    </row>
    <row r="17" ht="14.25" customHeight="1">
      <c r="B17" s="70"/>
      <c r="C17" s="71"/>
      <c r="D17" s="72"/>
    </row>
    <row r="18" ht="14.25" customHeight="1">
      <c r="B18" s="67"/>
      <c r="C18" s="68"/>
      <c r="D18" s="73"/>
    </row>
    <row r="19" ht="14.25" customHeight="1">
      <c r="B19" s="70"/>
      <c r="C19" s="71"/>
      <c r="D19" s="72"/>
    </row>
    <row r="20" ht="14.25" customHeight="1">
      <c r="B20" s="67"/>
      <c r="C20" s="68"/>
      <c r="D20" s="73"/>
    </row>
    <row r="21" ht="14.25" customHeight="1">
      <c r="B21" s="70"/>
      <c r="C21" s="71"/>
      <c r="D21" s="72"/>
    </row>
    <row r="22" ht="14.25" customHeight="1">
      <c r="B22" s="67"/>
      <c r="C22" s="68"/>
      <c r="D22" s="73"/>
    </row>
    <row r="23" ht="14.25" customHeight="1">
      <c r="B23" s="70"/>
      <c r="C23" s="71"/>
      <c r="D23" s="72"/>
    </row>
    <row r="24" ht="14.25" customHeight="1">
      <c r="B24" s="74"/>
      <c r="C24" s="75"/>
      <c r="D24" s="76"/>
    </row>
    <row r="25" ht="14.25" customHeight="1">
      <c r="B25" s="74"/>
      <c r="C25" s="75"/>
      <c r="D25" s="76"/>
    </row>
    <row r="26" ht="14.25" customHeight="1">
      <c r="B26" s="74"/>
      <c r="C26" s="75"/>
      <c r="D26" s="76"/>
    </row>
    <row r="27" ht="14.25" customHeight="1">
      <c r="B27" s="74"/>
      <c r="C27" s="75"/>
      <c r="D27" s="76"/>
    </row>
    <row r="28" ht="14.25" customHeight="1">
      <c r="B28" s="74"/>
      <c r="C28" s="75"/>
      <c r="D28" s="76"/>
    </row>
    <row r="29" ht="14.25" customHeight="1">
      <c r="B29" s="74"/>
      <c r="C29" s="75"/>
      <c r="D29" s="76"/>
    </row>
    <row r="30" ht="14.25" customHeight="1">
      <c r="B30" s="74"/>
      <c r="C30" s="75"/>
      <c r="D30" s="76"/>
    </row>
    <row r="31" ht="14.25" customHeight="1">
      <c r="B31" s="74"/>
      <c r="C31" s="75"/>
      <c r="D31" s="76"/>
    </row>
    <row r="32" ht="14.25" customHeight="1">
      <c r="B32" s="74"/>
      <c r="C32" s="75"/>
      <c r="D32" s="76"/>
    </row>
    <row r="33" ht="14.25" customHeight="1">
      <c r="B33" s="74"/>
      <c r="C33" s="75"/>
      <c r="D33" s="76"/>
    </row>
    <row r="34" ht="14.25" customHeight="1">
      <c r="B34" s="74"/>
      <c r="C34" s="75"/>
      <c r="D34" s="76"/>
    </row>
    <row r="35" ht="14.25" customHeight="1">
      <c r="B35" s="74"/>
      <c r="C35" s="75"/>
      <c r="D35" s="76"/>
    </row>
    <row r="36" ht="14.25" customHeight="1">
      <c r="B36" s="67"/>
      <c r="C36" s="68"/>
      <c r="D36" s="73"/>
    </row>
    <row r="37" ht="14.25" customHeight="1">
      <c r="B37" s="70"/>
      <c r="C37" s="71"/>
      <c r="D37" s="72"/>
    </row>
    <row r="38" ht="14.25" customHeight="1">
      <c r="B38" s="67"/>
      <c r="C38" s="68"/>
      <c r="D38" s="73"/>
    </row>
    <row r="39" ht="14.25" customHeight="1">
      <c r="B39" s="70"/>
      <c r="C39" s="71"/>
      <c r="D39" s="72"/>
    </row>
    <row r="40" ht="14.25" customHeight="1">
      <c r="B40" s="67"/>
      <c r="C40" s="68"/>
      <c r="D40" s="73"/>
    </row>
    <row r="41" ht="14.25" customHeight="1">
      <c r="B41" s="70"/>
      <c r="C41" s="71"/>
      <c r="D41" s="72"/>
    </row>
    <row r="42" ht="14.25" customHeight="1">
      <c r="B42" s="67"/>
      <c r="C42" s="68"/>
      <c r="D42" s="73"/>
    </row>
    <row r="43" ht="14.25" customHeight="1">
      <c r="B43" s="70"/>
      <c r="C43" s="71"/>
      <c r="D43" s="72"/>
    </row>
    <row r="44" ht="14.25" customHeight="1">
      <c r="B44" s="67"/>
      <c r="C44" s="68"/>
      <c r="D44" s="73"/>
    </row>
    <row r="45" ht="14.25" customHeight="1">
      <c r="B45" s="70"/>
      <c r="C45" s="71"/>
      <c r="D45" s="72"/>
    </row>
    <row r="46" ht="14.25" customHeight="1">
      <c r="B46" s="67"/>
      <c r="C46" s="68"/>
      <c r="D46" s="73"/>
    </row>
    <row r="47" ht="14.25" customHeight="1">
      <c r="B47" s="70"/>
      <c r="C47" s="71"/>
      <c r="D47" s="72"/>
    </row>
    <row r="48" ht="14.25" customHeight="1">
      <c r="B48" s="67"/>
      <c r="C48" s="68"/>
      <c r="D48" s="73"/>
    </row>
    <row r="49" ht="14.25" customHeight="1">
      <c r="B49" s="77"/>
      <c r="C49" s="78"/>
      <c r="D49" s="79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</sheetData>
  <mergeCells count="2">
    <mergeCell ref="A1:D1"/>
    <mergeCell ref="B9:D9"/>
  </mergeCells>
  <conditionalFormatting sqref="C10">
    <cfRule type="containsText" dxfId="0" priority="1" operator="containsText" text="wrong">
      <formula>NOT(ISERROR(SEARCH(("wrong"),(C10))))</formula>
    </cfRule>
  </conditionalFormatting>
  <conditionalFormatting sqref="C10">
    <cfRule type="containsText" dxfId="1" priority="2" operator="containsText" text="good">
      <formula>NOT(ISERROR(SEARCH(("good"),(C10))))</formula>
    </cfRule>
  </conditionalFormatting>
  <conditionalFormatting sqref="B9:D9">
    <cfRule type="expression" dxfId="2" priority="3">
      <formula>#REF!="Y"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7.86"/>
    <col customWidth="1" min="3" max="3" width="16.0"/>
    <col customWidth="1" min="4" max="4" width="13.86"/>
    <col customWidth="1" min="5" max="5" width="19.43"/>
    <col customWidth="1" min="6" max="6" width="15.14"/>
    <col customWidth="1" min="7" max="7" width="11.86"/>
    <col customWidth="1" min="8" max="8" width="21.86"/>
    <col customWidth="1" min="9" max="12" width="12.86"/>
    <col customWidth="1" min="13" max="13" width="14.86"/>
    <col customWidth="1" min="14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/>
    <row r="3" ht="18.0" customHeight="1">
      <c r="B3" s="4"/>
      <c r="C3" s="5"/>
      <c r="E3" s="6" t="s">
        <v>19</v>
      </c>
      <c r="F3" s="80" t="s">
        <v>20</v>
      </c>
      <c r="G3" s="8" t="s">
        <v>21</v>
      </c>
      <c r="H3" s="8" t="s">
        <v>22</v>
      </c>
      <c r="I3" s="8">
        <v>0.02</v>
      </c>
      <c r="J3" s="8"/>
      <c r="K3" s="8"/>
      <c r="L3" s="8"/>
      <c r="M3" s="8"/>
    </row>
    <row r="4" ht="18.0" customHeight="1">
      <c r="B4" s="6" t="s">
        <v>2</v>
      </c>
      <c r="C4" s="9"/>
      <c r="D4" s="8" t="str">
        <f>C4=I45</f>
        <v>#DIV/0!</v>
      </c>
      <c r="E4" s="6" t="s">
        <v>1</v>
      </c>
      <c r="F4" s="80"/>
      <c r="G4" s="8" t="b">
        <f>F4=MIN(C9:C20)</f>
        <v>1</v>
      </c>
      <c r="H4" s="8" t="s">
        <v>23</v>
      </c>
      <c r="I4" s="8">
        <v>5.0</v>
      </c>
      <c r="J4" s="8"/>
      <c r="K4" s="8"/>
      <c r="L4" s="8"/>
      <c r="M4" s="8"/>
    </row>
    <row r="5" ht="18.0" customHeight="1">
      <c r="B5" s="6" t="s">
        <v>24</v>
      </c>
      <c r="C5" s="10"/>
      <c r="D5" s="8" t="b">
        <f>C5=E45</f>
        <v>1</v>
      </c>
      <c r="E5" s="6" t="s">
        <v>3</v>
      </c>
      <c r="F5" s="80"/>
      <c r="G5" s="8" t="b">
        <f>F5=MAX(D9:D20)</f>
        <v>1</v>
      </c>
      <c r="H5" s="8"/>
      <c r="I5" s="8"/>
      <c r="J5" s="8"/>
      <c r="K5" s="8"/>
      <c r="L5" s="8"/>
      <c r="M5" s="8"/>
    </row>
    <row r="6" ht="18.0" customHeight="1">
      <c r="B6" s="6" t="s">
        <v>25</v>
      </c>
      <c r="C6" s="81" t="str">
        <f>IF(F3="CPV",C4/C5,C4/C5*1000)</f>
        <v>#DIV/0!</v>
      </c>
      <c r="D6" s="8"/>
      <c r="E6" s="82"/>
      <c r="F6" s="83"/>
      <c r="G6" s="8"/>
      <c r="H6" s="8"/>
      <c r="I6" s="8"/>
      <c r="J6" s="8"/>
      <c r="K6" s="8"/>
      <c r="L6" s="8"/>
      <c r="M6" s="8"/>
    </row>
    <row r="7" ht="14.25" customHeight="1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14.25" customHeight="1">
      <c r="B8" s="84" t="s">
        <v>26</v>
      </c>
      <c r="C8" s="85" t="s">
        <v>1</v>
      </c>
      <c r="D8" s="85" t="s">
        <v>3</v>
      </c>
      <c r="E8" s="85" t="s">
        <v>27</v>
      </c>
      <c r="F8" s="85" t="s">
        <v>28</v>
      </c>
      <c r="G8" s="85" t="s">
        <v>29</v>
      </c>
      <c r="H8" s="85" t="s">
        <v>30</v>
      </c>
      <c r="I8" s="86" t="s">
        <v>31</v>
      </c>
    </row>
    <row r="9" ht="14.25" customHeight="1">
      <c r="B9" s="87"/>
      <c r="C9" s="88"/>
      <c r="D9" s="89"/>
      <c r="E9" s="90"/>
      <c r="F9" s="91">
        <f t="shared" ref="F9:F44" si="1">D9-C9+1</f>
        <v>1</v>
      </c>
      <c r="G9" s="92">
        <f t="shared" ref="G9:G44" si="2">E9/F9</f>
        <v>0</v>
      </c>
      <c r="H9" s="93">
        <f t="shared" ref="H9:H44" si="3">IF($F$3="CPV",G9*$I$3,G9*$I$4/1000)</f>
        <v>0</v>
      </c>
      <c r="I9" s="94" t="str">
        <f t="shared" ref="I9:I44" si="4">IF($F$3="CPV",E9*$C$6,E9*$C$6/1000)</f>
        <v>#DIV/0!</v>
      </c>
    </row>
    <row r="10" ht="14.25" customHeight="1">
      <c r="B10" s="95"/>
      <c r="C10" s="96"/>
      <c r="D10" s="97"/>
      <c r="E10" s="98"/>
      <c r="F10" s="99">
        <f t="shared" si="1"/>
        <v>1</v>
      </c>
      <c r="G10" s="92">
        <f t="shared" si="2"/>
        <v>0</v>
      </c>
      <c r="H10" s="93">
        <f t="shared" si="3"/>
        <v>0</v>
      </c>
      <c r="I10" s="94" t="str">
        <f t="shared" si="4"/>
        <v>#DIV/0!</v>
      </c>
    </row>
    <row r="11" ht="14.25" customHeight="1">
      <c r="B11" s="100"/>
      <c r="C11" s="96"/>
      <c r="D11" s="97"/>
      <c r="E11" s="98"/>
      <c r="F11" s="99">
        <f t="shared" si="1"/>
        <v>1</v>
      </c>
      <c r="G11" s="92">
        <f t="shared" si="2"/>
        <v>0</v>
      </c>
      <c r="H11" s="93">
        <f t="shared" si="3"/>
        <v>0</v>
      </c>
      <c r="I11" s="94" t="str">
        <f t="shared" si="4"/>
        <v>#DIV/0!</v>
      </c>
    </row>
    <row r="12" ht="14.25" customHeight="1">
      <c r="B12" s="100"/>
      <c r="C12" s="96"/>
      <c r="D12" s="97"/>
      <c r="E12" s="98"/>
      <c r="F12" s="99">
        <f t="shared" si="1"/>
        <v>1</v>
      </c>
      <c r="G12" s="92">
        <f t="shared" si="2"/>
        <v>0</v>
      </c>
      <c r="H12" s="93">
        <f t="shared" si="3"/>
        <v>0</v>
      </c>
      <c r="I12" s="94" t="str">
        <f t="shared" si="4"/>
        <v>#DIV/0!</v>
      </c>
    </row>
    <row r="13" ht="14.25" customHeight="1">
      <c r="B13" s="100"/>
      <c r="C13" s="96"/>
      <c r="D13" s="97"/>
      <c r="E13" s="98"/>
      <c r="F13" s="99">
        <f t="shared" si="1"/>
        <v>1</v>
      </c>
      <c r="G13" s="92">
        <f t="shared" si="2"/>
        <v>0</v>
      </c>
      <c r="H13" s="93">
        <f t="shared" si="3"/>
        <v>0</v>
      </c>
      <c r="I13" s="94" t="str">
        <f t="shared" si="4"/>
        <v>#DIV/0!</v>
      </c>
    </row>
    <row r="14" ht="14.25" customHeight="1">
      <c r="B14" s="100"/>
      <c r="C14" s="96"/>
      <c r="D14" s="97"/>
      <c r="E14" s="98"/>
      <c r="F14" s="99">
        <f t="shared" si="1"/>
        <v>1</v>
      </c>
      <c r="G14" s="92">
        <f t="shared" si="2"/>
        <v>0</v>
      </c>
      <c r="H14" s="93">
        <f t="shared" si="3"/>
        <v>0</v>
      </c>
      <c r="I14" s="94" t="str">
        <f t="shared" si="4"/>
        <v>#DIV/0!</v>
      </c>
    </row>
    <row r="15" ht="14.25" customHeight="1">
      <c r="B15" s="100"/>
      <c r="C15" s="96"/>
      <c r="D15" s="97"/>
      <c r="E15" s="98"/>
      <c r="F15" s="99">
        <f t="shared" si="1"/>
        <v>1</v>
      </c>
      <c r="G15" s="92">
        <f t="shared" si="2"/>
        <v>0</v>
      </c>
      <c r="H15" s="93">
        <f t="shared" si="3"/>
        <v>0</v>
      </c>
      <c r="I15" s="94" t="str">
        <f t="shared" si="4"/>
        <v>#DIV/0!</v>
      </c>
    </row>
    <row r="16" ht="14.25" customHeight="1">
      <c r="B16" s="100"/>
      <c r="C16" s="96"/>
      <c r="D16" s="97"/>
      <c r="E16" s="98"/>
      <c r="F16" s="99">
        <f t="shared" si="1"/>
        <v>1</v>
      </c>
      <c r="G16" s="92">
        <f t="shared" si="2"/>
        <v>0</v>
      </c>
      <c r="H16" s="93">
        <f t="shared" si="3"/>
        <v>0</v>
      </c>
      <c r="I16" s="94" t="str">
        <f t="shared" si="4"/>
        <v>#DIV/0!</v>
      </c>
    </row>
    <row r="17" ht="14.25" customHeight="1">
      <c r="B17" s="100"/>
      <c r="C17" s="96"/>
      <c r="D17" s="97"/>
      <c r="E17" s="98"/>
      <c r="F17" s="99">
        <f t="shared" si="1"/>
        <v>1</v>
      </c>
      <c r="G17" s="92">
        <f t="shared" si="2"/>
        <v>0</v>
      </c>
      <c r="H17" s="93">
        <f t="shared" si="3"/>
        <v>0</v>
      </c>
      <c r="I17" s="94" t="str">
        <f t="shared" si="4"/>
        <v>#DIV/0!</v>
      </c>
    </row>
    <row r="18" ht="14.25" customHeight="1">
      <c r="B18" s="100"/>
      <c r="C18" s="96"/>
      <c r="D18" s="97"/>
      <c r="E18" s="98"/>
      <c r="F18" s="99">
        <f t="shared" si="1"/>
        <v>1</v>
      </c>
      <c r="G18" s="92">
        <f t="shared" si="2"/>
        <v>0</v>
      </c>
      <c r="H18" s="93">
        <f t="shared" si="3"/>
        <v>0</v>
      </c>
      <c r="I18" s="94" t="str">
        <f t="shared" si="4"/>
        <v>#DIV/0!</v>
      </c>
    </row>
    <row r="19" ht="14.25" customHeight="1">
      <c r="B19" s="100"/>
      <c r="C19" s="96"/>
      <c r="D19" s="97"/>
      <c r="E19" s="98"/>
      <c r="F19" s="99">
        <f t="shared" si="1"/>
        <v>1</v>
      </c>
      <c r="G19" s="92">
        <f t="shared" si="2"/>
        <v>0</v>
      </c>
      <c r="H19" s="93">
        <f t="shared" si="3"/>
        <v>0</v>
      </c>
      <c r="I19" s="94" t="str">
        <f t="shared" si="4"/>
        <v>#DIV/0!</v>
      </c>
    </row>
    <row r="20" ht="14.25" customHeight="1">
      <c r="B20" s="100"/>
      <c r="C20" s="96"/>
      <c r="D20" s="97"/>
      <c r="E20" s="98"/>
      <c r="F20" s="99">
        <f t="shared" si="1"/>
        <v>1</v>
      </c>
      <c r="G20" s="92">
        <f t="shared" si="2"/>
        <v>0</v>
      </c>
      <c r="H20" s="93">
        <f t="shared" si="3"/>
        <v>0</v>
      </c>
      <c r="I20" s="94" t="str">
        <f t="shared" si="4"/>
        <v>#DIV/0!</v>
      </c>
    </row>
    <row r="21" ht="14.25" customHeight="1">
      <c r="B21" s="87"/>
      <c r="C21" s="88"/>
      <c r="D21" s="89"/>
      <c r="E21" s="90"/>
      <c r="F21" s="91">
        <f t="shared" si="1"/>
        <v>1</v>
      </c>
      <c r="G21" s="92">
        <f t="shared" si="2"/>
        <v>0</v>
      </c>
      <c r="H21" s="93">
        <f t="shared" si="3"/>
        <v>0</v>
      </c>
      <c r="I21" s="94" t="str">
        <f t="shared" si="4"/>
        <v>#DIV/0!</v>
      </c>
    </row>
    <row r="22" ht="14.25" customHeight="1">
      <c r="B22" s="95"/>
      <c r="C22" s="96"/>
      <c r="D22" s="97"/>
      <c r="E22" s="98"/>
      <c r="F22" s="99">
        <f t="shared" si="1"/>
        <v>1</v>
      </c>
      <c r="G22" s="92">
        <f t="shared" si="2"/>
        <v>0</v>
      </c>
      <c r="H22" s="93">
        <f t="shared" si="3"/>
        <v>0</v>
      </c>
      <c r="I22" s="94" t="str">
        <f t="shared" si="4"/>
        <v>#DIV/0!</v>
      </c>
    </row>
    <row r="23" ht="14.25" customHeight="1">
      <c r="B23" s="100"/>
      <c r="C23" s="96"/>
      <c r="D23" s="97"/>
      <c r="E23" s="98"/>
      <c r="F23" s="99">
        <f t="shared" si="1"/>
        <v>1</v>
      </c>
      <c r="G23" s="92">
        <f t="shared" si="2"/>
        <v>0</v>
      </c>
      <c r="H23" s="93">
        <f t="shared" si="3"/>
        <v>0</v>
      </c>
      <c r="I23" s="94" t="str">
        <f t="shared" si="4"/>
        <v>#DIV/0!</v>
      </c>
    </row>
    <row r="24" ht="14.25" customHeight="1">
      <c r="B24" s="100"/>
      <c r="C24" s="96"/>
      <c r="D24" s="97"/>
      <c r="E24" s="98"/>
      <c r="F24" s="99">
        <f t="shared" si="1"/>
        <v>1</v>
      </c>
      <c r="G24" s="92">
        <f t="shared" si="2"/>
        <v>0</v>
      </c>
      <c r="H24" s="93">
        <f t="shared" si="3"/>
        <v>0</v>
      </c>
      <c r="I24" s="94" t="str">
        <f t="shared" si="4"/>
        <v>#DIV/0!</v>
      </c>
    </row>
    <row r="25" ht="14.25" customHeight="1">
      <c r="B25" s="100"/>
      <c r="C25" s="96"/>
      <c r="D25" s="97"/>
      <c r="E25" s="98"/>
      <c r="F25" s="99">
        <f t="shared" si="1"/>
        <v>1</v>
      </c>
      <c r="G25" s="92">
        <f t="shared" si="2"/>
        <v>0</v>
      </c>
      <c r="H25" s="93">
        <f t="shared" si="3"/>
        <v>0</v>
      </c>
      <c r="I25" s="94" t="str">
        <f t="shared" si="4"/>
        <v>#DIV/0!</v>
      </c>
    </row>
    <row r="26" ht="14.25" customHeight="1">
      <c r="B26" s="100"/>
      <c r="C26" s="96"/>
      <c r="D26" s="97"/>
      <c r="E26" s="98"/>
      <c r="F26" s="99">
        <f t="shared" si="1"/>
        <v>1</v>
      </c>
      <c r="G26" s="92">
        <f t="shared" si="2"/>
        <v>0</v>
      </c>
      <c r="H26" s="93">
        <f t="shared" si="3"/>
        <v>0</v>
      </c>
      <c r="I26" s="94" t="str">
        <f t="shared" si="4"/>
        <v>#DIV/0!</v>
      </c>
    </row>
    <row r="27" ht="14.25" customHeight="1">
      <c r="B27" s="100"/>
      <c r="C27" s="96"/>
      <c r="D27" s="97"/>
      <c r="E27" s="98"/>
      <c r="F27" s="99">
        <f t="shared" si="1"/>
        <v>1</v>
      </c>
      <c r="G27" s="92">
        <f t="shared" si="2"/>
        <v>0</v>
      </c>
      <c r="H27" s="93">
        <f t="shared" si="3"/>
        <v>0</v>
      </c>
      <c r="I27" s="94" t="str">
        <f t="shared" si="4"/>
        <v>#DIV/0!</v>
      </c>
    </row>
    <row r="28" ht="14.25" customHeight="1">
      <c r="B28" s="100"/>
      <c r="C28" s="96"/>
      <c r="D28" s="97"/>
      <c r="E28" s="98"/>
      <c r="F28" s="99">
        <f t="shared" si="1"/>
        <v>1</v>
      </c>
      <c r="G28" s="92">
        <f t="shared" si="2"/>
        <v>0</v>
      </c>
      <c r="H28" s="93">
        <f t="shared" si="3"/>
        <v>0</v>
      </c>
      <c r="I28" s="94" t="str">
        <f t="shared" si="4"/>
        <v>#DIV/0!</v>
      </c>
    </row>
    <row r="29" ht="14.25" customHeight="1">
      <c r="B29" s="100"/>
      <c r="C29" s="96"/>
      <c r="D29" s="97"/>
      <c r="E29" s="98"/>
      <c r="F29" s="99">
        <f t="shared" si="1"/>
        <v>1</v>
      </c>
      <c r="G29" s="92">
        <f t="shared" si="2"/>
        <v>0</v>
      </c>
      <c r="H29" s="93">
        <f t="shared" si="3"/>
        <v>0</v>
      </c>
      <c r="I29" s="94" t="str">
        <f t="shared" si="4"/>
        <v>#DIV/0!</v>
      </c>
    </row>
    <row r="30" ht="14.25" customHeight="1">
      <c r="B30" s="100"/>
      <c r="C30" s="96"/>
      <c r="D30" s="97"/>
      <c r="E30" s="98"/>
      <c r="F30" s="99">
        <f t="shared" si="1"/>
        <v>1</v>
      </c>
      <c r="G30" s="92">
        <f t="shared" si="2"/>
        <v>0</v>
      </c>
      <c r="H30" s="93">
        <f t="shared" si="3"/>
        <v>0</v>
      </c>
      <c r="I30" s="94" t="str">
        <f t="shared" si="4"/>
        <v>#DIV/0!</v>
      </c>
    </row>
    <row r="31" ht="14.25" customHeight="1">
      <c r="B31" s="100"/>
      <c r="C31" s="96"/>
      <c r="D31" s="97"/>
      <c r="E31" s="98"/>
      <c r="F31" s="99">
        <f t="shared" si="1"/>
        <v>1</v>
      </c>
      <c r="G31" s="92">
        <f t="shared" si="2"/>
        <v>0</v>
      </c>
      <c r="H31" s="93">
        <f t="shared" si="3"/>
        <v>0</v>
      </c>
      <c r="I31" s="94" t="str">
        <f t="shared" si="4"/>
        <v>#DIV/0!</v>
      </c>
    </row>
    <row r="32" ht="14.25" customHeight="1">
      <c r="B32" s="100"/>
      <c r="C32" s="96"/>
      <c r="D32" s="97"/>
      <c r="E32" s="98"/>
      <c r="F32" s="99">
        <f t="shared" si="1"/>
        <v>1</v>
      </c>
      <c r="G32" s="92">
        <f t="shared" si="2"/>
        <v>0</v>
      </c>
      <c r="H32" s="93">
        <f t="shared" si="3"/>
        <v>0</v>
      </c>
      <c r="I32" s="94" t="str">
        <f t="shared" si="4"/>
        <v>#DIV/0!</v>
      </c>
    </row>
    <row r="33" ht="14.25" customHeight="1">
      <c r="B33" s="87"/>
      <c r="C33" s="88"/>
      <c r="D33" s="89"/>
      <c r="E33" s="90"/>
      <c r="F33" s="91">
        <f t="shared" si="1"/>
        <v>1</v>
      </c>
      <c r="G33" s="92">
        <f t="shared" si="2"/>
        <v>0</v>
      </c>
      <c r="H33" s="93">
        <f t="shared" si="3"/>
        <v>0</v>
      </c>
      <c r="I33" s="94" t="str">
        <f t="shared" si="4"/>
        <v>#DIV/0!</v>
      </c>
    </row>
    <row r="34" ht="14.25" customHeight="1">
      <c r="B34" s="95"/>
      <c r="C34" s="96"/>
      <c r="D34" s="97"/>
      <c r="E34" s="98"/>
      <c r="F34" s="99">
        <f t="shared" si="1"/>
        <v>1</v>
      </c>
      <c r="G34" s="92">
        <f t="shared" si="2"/>
        <v>0</v>
      </c>
      <c r="H34" s="93">
        <f t="shared" si="3"/>
        <v>0</v>
      </c>
      <c r="I34" s="94" t="str">
        <f t="shared" si="4"/>
        <v>#DIV/0!</v>
      </c>
    </row>
    <row r="35" ht="14.25" customHeight="1">
      <c r="B35" s="100"/>
      <c r="C35" s="96"/>
      <c r="D35" s="97"/>
      <c r="E35" s="98"/>
      <c r="F35" s="99">
        <f t="shared" si="1"/>
        <v>1</v>
      </c>
      <c r="G35" s="92">
        <f t="shared" si="2"/>
        <v>0</v>
      </c>
      <c r="H35" s="93">
        <f t="shared" si="3"/>
        <v>0</v>
      </c>
      <c r="I35" s="94" t="str">
        <f t="shared" si="4"/>
        <v>#DIV/0!</v>
      </c>
    </row>
    <row r="36" ht="14.25" customHeight="1">
      <c r="B36" s="100"/>
      <c r="C36" s="96"/>
      <c r="D36" s="97"/>
      <c r="E36" s="98"/>
      <c r="F36" s="99">
        <f t="shared" si="1"/>
        <v>1</v>
      </c>
      <c r="G36" s="92">
        <f t="shared" si="2"/>
        <v>0</v>
      </c>
      <c r="H36" s="93">
        <f t="shared" si="3"/>
        <v>0</v>
      </c>
      <c r="I36" s="94" t="str">
        <f t="shared" si="4"/>
        <v>#DIV/0!</v>
      </c>
    </row>
    <row r="37" ht="14.25" customHeight="1">
      <c r="B37" s="100"/>
      <c r="C37" s="96"/>
      <c r="D37" s="97"/>
      <c r="E37" s="98"/>
      <c r="F37" s="99">
        <f t="shared" si="1"/>
        <v>1</v>
      </c>
      <c r="G37" s="92">
        <f t="shared" si="2"/>
        <v>0</v>
      </c>
      <c r="H37" s="93">
        <f t="shared" si="3"/>
        <v>0</v>
      </c>
      <c r="I37" s="94" t="str">
        <f t="shared" si="4"/>
        <v>#DIV/0!</v>
      </c>
    </row>
    <row r="38" ht="14.25" customHeight="1">
      <c r="B38" s="100"/>
      <c r="C38" s="96"/>
      <c r="D38" s="97"/>
      <c r="E38" s="98"/>
      <c r="F38" s="99">
        <f t="shared" si="1"/>
        <v>1</v>
      </c>
      <c r="G38" s="92">
        <f t="shared" si="2"/>
        <v>0</v>
      </c>
      <c r="H38" s="93">
        <f t="shared" si="3"/>
        <v>0</v>
      </c>
      <c r="I38" s="94" t="str">
        <f t="shared" si="4"/>
        <v>#DIV/0!</v>
      </c>
    </row>
    <row r="39" ht="14.25" customHeight="1">
      <c r="B39" s="100"/>
      <c r="C39" s="96"/>
      <c r="D39" s="97"/>
      <c r="E39" s="98"/>
      <c r="F39" s="99">
        <f t="shared" si="1"/>
        <v>1</v>
      </c>
      <c r="G39" s="92">
        <f t="shared" si="2"/>
        <v>0</v>
      </c>
      <c r="H39" s="93">
        <f t="shared" si="3"/>
        <v>0</v>
      </c>
      <c r="I39" s="94" t="str">
        <f t="shared" si="4"/>
        <v>#DIV/0!</v>
      </c>
    </row>
    <row r="40" ht="14.25" customHeight="1">
      <c r="B40" s="100"/>
      <c r="C40" s="96"/>
      <c r="D40" s="97"/>
      <c r="E40" s="98"/>
      <c r="F40" s="99">
        <f t="shared" si="1"/>
        <v>1</v>
      </c>
      <c r="G40" s="92">
        <f t="shared" si="2"/>
        <v>0</v>
      </c>
      <c r="H40" s="93">
        <f t="shared" si="3"/>
        <v>0</v>
      </c>
      <c r="I40" s="94" t="str">
        <f t="shared" si="4"/>
        <v>#DIV/0!</v>
      </c>
    </row>
    <row r="41" ht="14.25" customHeight="1">
      <c r="B41" s="100"/>
      <c r="C41" s="96"/>
      <c r="D41" s="97"/>
      <c r="E41" s="98"/>
      <c r="F41" s="99">
        <f t="shared" si="1"/>
        <v>1</v>
      </c>
      <c r="G41" s="92">
        <f t="shared" si="2"/>
        <v>0</v>
      </c>
      <c r="H41" s="93">
        <f t="shared" si="3"/>
        <v>0</v>
      </c>
      <c r="I41" s="94" t="str">
        <f t="shared" si="4"/>
        <v>#DIV/0!</v>
      </c>
    </row>
    <row r="42" ht="14.25" customHeight="1">
      <c r="B42" s="100"/>
      <c r="C42" s="96"/>
      <c r="D42" s="97"/>
      <c r="E42" s="98"/>
      <c r="F42" s="99">
        <f t="shared" si="1"/>
        <v>1</v>
      </c>
      <c r="G42" s="92">
        <f t="shared" si="2"/>
        <v>0</v>
      </c>
      <c r="H42" s="93">
        <f t="shared" si="3"/>
        <v>0</v>
      </c>
      <c r="I42" s="94" t="str">
        <f t="shared" si="4"/>
        <v>#DIV/0!</v>
      </c>
    </row>
    <row r="43" ht="14.25" customHeight="1">
      <c r="B43" s="100"/>
      <c r="C43" s="96"/>
      <c r="D43" s="97"/>
      <c r="E43" s="98"/>
      <c r="F43" s="99">
        <f t="shared" si="1"/>
        <v>1</v>
      </c>
      <c r="G43" s="92">
        <f t="shared" si="2"/>
        <v>0</v>
      </c>
      <c r="H43" s="93">
        <f t="shared" si="3"/>
        <v>0</v>
      </c>
      <c r="I43" s="94" t="str">
        <f t="shared" si="4"/>
        <v>#DIV/0!</v>
      </c>
    </row>
    <row r="44" ht="14.25" customHeight="1">
      <c r="B44" s="100"/>
      <c r="C44" s="96"/>
      <c r="D44" s="97"/>
      <c r="E44" s="98"/>
      <c r="F44" s="99">
        <f t="shared" si="1"/>
        <v>1</v>
      </c>
      <c r="G44" s="92">
        <f t="shared" si="2"/>
        <v>0</v>
      </c>
      <c r="H44" s="93">
        <f t="shared" si="3"/>
        <v>0</v>
      </c>
      <c r="I44" s="94" t="str">
        <f t="shared" si="4"/>
        <v>#DIV/0!</v>
      </c>
    </row>
    <row r="45" ht="14.25" customHeight="1">
      <c r="B45" s="101"/>
      <c r="C45" s="102"/>
      <c r="D45" s="102"/>
      <c r="E45" s="103">
        <f>SUM(E9:E20)</f>
        <v>0</v>
      </c>
      <c r="F45" s="102"/>
      <c r="G45" s="103">
        <f>SUM(G9:G20)</f>
        <v>0</v>
      </c>
      <c r="H45" s="102"/>
      <c r="I45" s="104" t="str">
        <f>SUM(I9:I20)</f>
        <v>#DIV/0!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2">
    <mergeCell ref="A1:M1"/>
    <mergeCell ref="C3:D3"/>
  </mergeCells>
  <conditionalFormatting sqref="E9:E44">
    <cfRule type="expression" dxfId="6" priority="1">
      <formula>$G$64&lt;&gt;$C$20</formula>
    </cfRule>
  </conditionalFormatting>
  <conditionalFormatting sqref="G4:G5">
    <cfRule type="cellIs" dxfId="0" priority="2" operator="equal">
      <formula>"FALSE"</formula>
    </cfRule>
  </conditionalFormatting>
  <conditionalFormatting sqref="G4:G5">
    <cfRule type="cellIs" dxfId="1" priority="3" operator="equal">
      <formula>"TRUE"</formula>
    </cfRule>
  </conditionalFormatting>
  <conditionalFormatting sqref="D4:D5">
    <cfRule type="cellIs" dxfId="0" priority="4" operator="equal">
      <formula>"FALSE"</formula>
    </cfRule>
  </conditionalFormatting>
  <conditionalFormatting sqref="D4:D5">
    <cfRule type="cellIs" dxfId="1" priority="5" operator="equal">
      <formula>"TRUE"</formula>
    </cfRule>
  </conditionalFormatting>
  <printOptions/>
  <pageMargins bottom="0.75" footer="0.0" header="0.0" left="0.7" right="0.7" top="0.75"/>
  <pageSetup orientation="portrait"/>
  <drawing r:id="rId1"/>
</worksheet>
</file>